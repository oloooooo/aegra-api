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默认排放因子" sheetId="1" state="visible" r:id="rId1"/>
    <sheet name="申报校验规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CN8编码</t>
        </is>
      </c>
      <c r="B1" t="inlineStr">
        <is>
          <t>商品名称</t>
        </is>
      </c>
      <c r="C1" t="inlineStr">
        <is>
          <t>部门</t>
        </is>
      </c>
      <c r="D1" t="inlineStr">
        <is>
          <t>计量单位</t>
        </is>
      </c>
      <c r="E1" t="inlineStr">
        <is>
          <t>默认排放因子</t>
        </is>
      </c>
      <c r="F1" t="inlineStr">
        <is>
          <t>来源年份</t>
        </is>
      </c>
      <c r="G1" t="inlineStr">
        <is>
          <t>备注</t>
        </is>
      </c>
    </row>
    <row r="2">
      <c r="A2" t="inlineStr">
        <is>
          <t>72081000</t>
        </is>
      </c>
      <c r="B2" t="inlineStr">
        <is>
          <t>热轧非卷材（合金钢）</t>
        </is>
      </c>
      <c r="C2" t="inlineStr">
        <is>
          <t>钢铁</t>
        </is>
      </c>
      <c r="D2" t="inlineStr">
        <is>
          <t>t</t>
        </is>
      </c>
      <c r="E2" t="n">
        <v>2.14</v>
      </c>
      <c r="F2" t="inlineStr">
        <is>
          <t>2023</t>
        </is>
      </c>
      <c r="G2" t="inlineStr">
        <is>
          <t>实测优先；默认值×1.5 清缴</t>
        </is>
      </c>
    </row>
    <row r="3">
      <c r="A3" t="inlineStr">
        <is>
          <t>72189100</t>
        </is>
      </c>
      <c r="B3" t="inlineStr">
        <is>
          <t>方坯（不锈钢）</t>
        </is>
      </c>
      <c r="C3" t="inlineStr">
        <is>
          <t>钢铁</t>
        </is>
      </c>
      <c r="D3" t="inlineStr">
        <is>
          <t>t</t>
        </is>
      </c>
      <c r="E3" t="n">
        <v>2.85</v>
      </c>
      <c r="F3" t="inlineStr">
        <is>
          <t>2023</t>
        </is>
      </c>
      <c r="G3" t="inlineStr">
        <is>
          <t>电炉短流程默认值</t>
        </is>
      </c>
    </row>
    <row r="4">
      <c r="A4" t="inlineStr">
        <is>
          <t>76011000</t>
        </is>
      </c>
      <c r="B4" t="inlineStr">
        <is>
          <t>非合金铝</t>
        </is>
      </c>
      <c r="C4" t="inlineStr">
        <is>
          <t>铝</t>
        </is>
      </c>
      <c r="D4" t="inlineStr">
        <is>
          <t>t</t>
        </is>
      </c>
      <c r="E4" t="n">
        <v>12.3</v>
      </c>
      <c r="F4" t="inlineStr">
        <is>
          <t>2023</t>
        </is>
      </c>
      <c r="G4" t="inlineStr">
        <is>
          <t>电解铝，间接排放占比高</t>
        </is>
      </c>
    </row>
    <row r="5">
      <c r="A5" t="inlineStr">
        <is>
          <t>76032000</t>
        </is>
      </c>
      <c r="B5" t="inlineStr">
        <is>
          <t>铝合金粉</t>
        </is>
      </c>
      <c r="C5" t="inlineStr">
        <is>
          <t>铝</t>
        </is>
      </c>
      <c r="D5" t="inlineStr">
        <is>
          <t>t</t>
        </is>
      </c>
      <c r="E5" t="n">
        <v>14.8</v>
      </c>
      <c r="F5" t="inlineStr">
        <is>
          <t>2023</t>
        </is>
      </c>
      <c r="G5" t="inlineStr">
        <is>
          <t>含熔炼重耗</t>
        </is>
      </c>
    </row>
    <row r="6">
      <c r="A6" t="inlineStr">
        <is>
          <t>25232900</t>
        </is>
      </c>
      <c r="B6" t="inlineStr">
        <is>
          <t>其它硅酸盐水泥</t>
        </is>
      </c>
      <c r="C6" t="inlineStr">
        <is>
          <t>水泥</t>
        </is>
      </c>
      <c r="D6" t="inlineStr">
        <is>
          <t>t</t>
        </is>
      </c>
      <c r="E6" t="n">
        <v>0.8100000000000001</v>
      </c>
      <c r="F6" t="inlineStr">
        <is>
          <t>2023</t>
        </is>
      </c>
      <c r="G6" t="inlineStr">
        <is>
          <t>窑炉工艺排放主导</t>
        </is>
      </c>
    </row>
    <row r="7">
      <c r="A7" t="inlineStr">
        <is>
          <t>25239000</t>
        </is>
      </c>
      <c r="B7" t="inlineStr">
        <is>
          <t>水泥熟料</t>
        </is>
      </c>
      <c r="C7" t="inlineStr">
        <is>
          <t>水泥</t>
        </is>
      </c>
      <c r="D7" t="inlineStr">
        <is>
          <t>t</t>
        </is>
      </c>
      <c r="E7" t="n">
        <v>0.86</v>
      </c>
      <c r="F7" t="inlineStr">
        <is>
          <t>2023</t>
        </is>
      </c>
      <c r="G7" t="inlineStr">
        <is>
          <t>熟料因子法</t>
        </is>
      </c>
    </row>
    <row r="8">
      <c r="A8" t="inlineStr">
        <is>
          <t>28080000</t>
        </is>
      </c>
      <c r="B8" t="inlineStr">
        <is>
          <t>硝酸</t>
        </is>
      </c>
      <c r="C8" t="inlineStr">
        <is>
          <t>化肥</t>
        </is>
      </c>
      <c r="D8" t="inlineStr">
        <is>
          <t>t</t>
        </is>
      </c>
      <c r="E8" t="n">
        <v>5.7</v>
      </c>
      <c r="F8" t="inlineStr">
        <is>
          <t>2023</t>
        </is>
      </c>
      <c r="G8" t="inlineStr">
        <is>
          <t>N₂O 工艺排放主导</t>
        </is>
      </c>
    </row>
    <row r="9">
      <c r="A9" t="inlineStr">
        <is>
          <t>28141000</t>
        </is>
      </c>
      <c r="B9" t="inlineStr">
        <is>
          <t>氨</t>
        </is>
      </c>
      <c r="C9" t="inlineStr">
        <is>
          <t>化肥</t>
        </is>
      </c>
      <c r="D9" t="inlineStr">
        <is>
          <t>t</t>
        </is>
      </c>
      <c r="E9" t="n">
        <v>2.4</v>
      </c>
      <c r="F9" t="inlineStr">
        <is>
          <t>2023</t>
        </is>
      </c>
      <c r="G9" t="inlineStr">
        <is>
          <t>哈伯法，天然气重整</t>
        </is>
      </c>
    </row>
    <row r="10">
      <c r="A10" t="inlineStr">
        <is>
          <t>31021000</t>
        </is>
      </c>
      <c r="B10" t="inlineStr">
        <is>
          <t>尿素</t>
        </is>
      </c>
      <c r="C10" t="inlineStr">
        <is>
          <t>化肥</t>
        </is>
      </c>
      <c r="D10" t="inlineStr">
        <is>
          <t>t</t>
        </is>
      </c>
      <c r="E10" t="n">
        <v>3.3</v>
      </c>
      <c r="F10" t="inlineStr">
        <is>
          <t>2023</t>
        </is>
      </c>
      <c r="G10" t="inlineStr">
        <is>
          <t>氨+CO₂ 合成</t>
        </is>
      </c>
    </row>
    <row r="11">
      <c r="A11" t="inlineStr">
        <is>
          <t>31052000</t>
        </is>
      </c>
      <c r="B11" t="inlineStr">
        <is>
          <t>复合肥（NPK）</t>
        </is>
      </c>
      <c r="C11" t="inlineStr">
        <is>
          <t>化肥</t>
        </is>
      </c>
      <c r="D11" t="inlineStr">
        <is>
          <t>t</t>
        </is>
      </c>
      <c r="E11" t="n">
        <v>1.9</v>
      </c>
      <c r="F11" t="inlineStr">
        <is>
          <t>2023</t>
        </is>
      </c>
      <c r="G11" t="inlineStr">
        <is>
          <t>按氮含量折算</t>
        </is>
      </c>
    </row>
    <row r="12">
      <c r="A12" t="inlineStr">
        <is>
          <t>27011200</t>
        </is>
      </c>
      <c r="B12" t="inlineStr">
        <is>
          <t>炼焦煤</t>
        </is>
      </c>
      <c r="C12" t="inlineStr">
        <is>
          <t>其它</t>
        </is>
      </c>
      <c r="D12" t="inlineStr">
        <is>
          <t>t</t>
        </is>
      </c>
      <c r="E12" t="n">
        <v>0.92</v>
      </c>
      <c r="F12" t="inlineStr">
        <is>
          <t>2023</t>
        </is>
      </c>
      <c r="G12" t="inlineStr">
        <is>
          <t>焦化过程排放</t>
        </is>
      </c>
    </row>
    <row r="13">
      <c r="A13" t="inlineStr">
        <is>
          <t>72071100</t>
        </is>
      </c>
      <c r="B13" t="inlineStr">
        <is>
          <t>非合金钢半成品</t>
        </is>
      </c>
      <c r="C13" t="inlineStr">
        <is>
          <t>钢铁</t>
        </is>
      </c>
      <c r="D13" t="inlineStr">
        <is>
          <t>t</t>
        </is>
      </c>
      <c r="E13" t="n">
        <v>1.98</v>
      </c>
      <c r="F13" t="inlineStr">
        <is>
          <t>2023</t>
        </is>
      </c>
      <c r="G13" t="inlineStr">
        <is>
          <t>高炉-转炉路线</t>
        </is>
      </c>
    </row>
    <row r="14">
      <c r="A14" t="inlineStr">
        <is>
          <t>27111100</t>
        </is>
      </c>
      <c r="B14" t="inlineStr">
        <is>
          <t>天然气（气态）</t>
        </is>
      </c>
      <c r="C14" t="inlineStr">
        <is>
          <t>氢</t>
        </is>
      </c>
      <c r="D14" t="inlineStr">
        <is>
          <t>Nm3</t>
        </is>
      </c>
      <c r="E14" t="n">
        <v>0.42</v>
      </c>
      <c r="F14" t="inlineStr">
        <is>
          <t>2023</t>
        </is>
      </c>
      <c r="G14" t="inlineStr">
        <is>
          <t>作为制氢原料时管制</t>
        </is>
      </c>
    </row>
    <row r="15">
      <c r="A15" t="inlineStr">
        <is>
          <t>27090000</t>
        </is>
      </c>
      <c r="B15" t="inlineStr">
        <is>
          <t>原油</t>
        </is>
      </c>
      <c r="C15" t="inlineStr">
        <is>
          <t>其它</t>
        </is>
      </c>
      <c r="D15" t="inlineStr">
        <is>
          <t>t</t>
        </is>
      </c>
      <c r="E15" t="n">
        <v>0.73</v>
      </c>
      <c r="F15" t="inlineStr">
        <is>
          <t>2023</t>
        </is>
      </c>
      <c r="G15" t="inlineStr">
        <is>
          <t>炼化下游夹带申报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校验字段</t>
        </is>
      </c>
      <c r="C1" t="inlineStr">
        <is>
          <t>校验逻辑</t>
        </is>
      </c>
      <c r="D1" t="inlineStr">
        <is>
          <t>违规等级</t>
        </is>
      </c>
      <c r="E1" t="inlineStr">
        <is>
          <t>适用环节</t>
        </is>
      </c>
    </row>
    <row r="2">
      <c r="A2" t="inlineStr">
        <is>
          <t>R01</t>
        </is>
      </c>
      <c r="B2" t="inlineStr">
        <is>
          <t>CN8编码</t>
        </is>
      </c>
      <c r="C2" t="inlineStr">
        <is>
          <t>必须命中管制清单（见默认排放因子表）</t>
        </is>
      </c>
      <c r="D2" t="inlineStr">
        <is>
          <t>A-退回</t>
        </is>
      </c>
      <c r="E2" t="inlineStr">
        <is>
          <t>季度进口申报</t>
        </is>
      </c>
    </row>
    <row r="3">
      <c r="A3" t="inlineStr">
        <is>
          <t>R02</t>
        </is>
      </c>
      <c r="B3" t="inlineStr">
        <is>
          <t>净重</t>
        </is>
      </c>
      <c r="C3" t="inlineStr">
        <is>
          <t>&gt;0 且与报关单一致，误差 &gt;1% 时取报关单值</t>
        </is>
      </c>
      <c r="D3" t="inlineStr">
        <is>
          <t>B-告警</t>
        </is>
      </c>
      <c r="E3" t="inlineStr">
        <is>
          <t>季度进口申报</t>
        </is>
      </c>
    </row>
    <row r="4">
      <c r="A4" t="inlineStr">
        <is>
          <t>R03</t>
        </is>
      </c>
      <c r="B4" t="inlineStr">
        <is>
          <t>排放数据来源</t>
        </is>
      </c>
      <c r="C4" t="inlineStr">
        <is>
          <t>production_route ∈ {measured, default}</t>
        </is>
      </c>
      <c r="D4" t="inlineStr">
        <is>
          <t>A-退回</t>
        </is>
      </c>
      <c r="E4" t="inlineStr">
        <is>
          <t>季度进口申报</t>
        </is>
      </c>
    </row>
    <row r="5">
      <c r="A5" t="inlineStr">
        <is>
          <t>R04</t>
        </is>
      </c>
      <c r="B5" t="inlineStr">
        <is>
          <t>第三国碳价凭证</t>
        </is>
      </c>
      <c r="C5" t="inlineStr">
        <is>
          <t>来源=default 且申请抵扣时必填，含支付国/税率/金额</t>
        </is>
      </c>
      <c r="D5" t="inlineStr">
        <is>
          <t>A-退回</t>
        </is>
      </c>
      <c r="E5" t="inlineStr">
        <is>
          <t>年度报告</t>
        </is>
      </c>
    </row>
    <row r="6">
      <c r="A6" t="inlineStr">
        <is>
          <t>R05</t>
        </is>
      </c>
      <c r="B6" t="inlineStr">
        <is>
          <t>设施登记号</t>
        </is>
      </c>
      <c r="C6" t="inlineStr">
        <is>
          <t>来源=measured 时必须在 CBAM 登记册可查</t>
        </is>
      </c>
      <c r="D6" t="inlineStr">
        <is>
          <t>A-退回</t>
        </is>
      </c>
      <c r="E6" t="inlineStr">
        <is>
          <t>年度报告</t>
        </is>
      </c>
    </row>
    <row r="7">
      <c r="A7" t="inlineStr">
        <is>
          <t>R06</t>
        </is>
      </c>
      <c r="B7" t="inlineStr">
        <is>
          <t>年进口总质量</t>
        </is>
      </c>
      <c r="C7" t="inlineStr">
        <is>
          <t>&lt;50 t 且选择豁免时，年度汇总需复核不超阈</t>
        </is>
      </c>
      <c r="D7" t="inlineStr">
        <is>
          <t>C-记录</t>
        </is>
      </c>
      <c r="E7" t="inlineStr">
        <is>
          <t>年度报告</t>
        </is>
      </c>
    </row>
    <row r="8">
      <c r="A8" t="inlineStr">
        <is>
          <t>R07</t>
        </is>
      </c>
      <c r="B8" t="inlineStr">
        <is>
          <t>证书清缴数量</t>
        </is>
      </c>
      <c r="C8">
        <f> 嵌入排放 × 年度清缴比例 ×（默认值? 1.5 : 1）</f>
        <v/>
      </c>
      <c r="D8" t="inlineStr">
        <is>
          <t>A-退回</t>
        </is>
      </c>
      <c r="E8" t="inlineStr">
        <is>
          <t>年度清缴</t>
        </is>
      </c>
    </row>
    <row r="9">
      <c r="A9" t="inlineStr">
        <is>
          <t>R08</t>
        </is>
      </c>
      <c r="B9" t="inlineStr">
        <is>
          <t>间接排放（电力）</t>
        </is>
      </c>
      <c r="C9" t="inlineStr">
        <is>
          <t>部门≠电力时可选申报；申报则需提供购电协议与电网因子</t>
        </is>
      </c>
      <c r="D9" t="inlineStr">
        <is>
          <t>B-告警</t>
        </is>
      </c>
      <c r="E9" t="inlineStr">
        <is>
          <t>年度报告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2026-10-18T03:50:48Z</dcterms:created>
  <dcterms:modified xsi:type="dcterms:W3CDTF">2026-10-18T03:50:49Z</dcterms:modified>
</cp:coreProperties>
</file>